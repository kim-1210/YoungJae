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<sst xmlns="http://schemas.openxmlformats.org/spreadsheetml/2006/main" count="272" uniqueCount="53">
  <si>
    <t xml:space="preserve">아래의 표는 각각의 조건이 주어졌을 때 강아지 입양 여부 테이블 입니다. </t>
  </si>
  <si>
    <t xml:space="preserve">인덱스</t>
  </si>
  <si>
    <t xml:space="preserve">주거지</t>
  </si>
  <si>
    <t xml:space="preserve">수입</t>
  </si>
  <si>
    <t xml:space="preserve">성별</t>
  </si>
  <si>
    <t xml:space="preserve">신용등급</t>
  </si>
  <si>
    <t xml:space="preserve">강아지 입양 여부</t>
  </si>
  <si>
    <t xml:space="preserve">서울</t>
  </si>
  <si>
    <t xml:space="preserve">high</t>
  </si>
  <si>
    <t xml:space="preserve">남자</t>
  </si>
  <si>
    <t xml:space="preserve">fair</t>
  </si>
  <si>
    <t xml:space="preserve">no</t>
  </si>
  <si>
    <t xml:space="preserve">부산</t>
  </si>
  <si>
    <t xml:space="preserve">excellent</t>
  </si>
  <si>
    <t xml:space="preserve">대구</t>
  </si>
  <si>
    <t xml:space="preserve">여자</t>
  </si>
  <si>
    <t xml:space="preserve">yes</t>
  </si>
  <si>
    <t xml:space="preserve">medium</t>
  </si>
  <si>
    <t xml:space="preserve">울산</t>
  </si>
  <si>
    <t xml:space="preserve">low</t>
  </si>
  <si>
    <t xml:space="preserve">김해</t>
  </si>
  <si>
    <t xml:space="preserve">       </t>
  </si>
  <si>
    <t xml:space="preserve">광주</t>
  </si>
  <si>
    <t xml:space="preserve">COUNTIF문 연습</t>
  </si>
  <si>
    <t xml:space="preserve">1.성별 컬럼에서 yes와 no 각각의 수를 세시오 (COUNTIF문 이용)</t>
  </si>
  <si>
    <t xml:space="preserve">남자             :</t>
  </si>
  <si>
    <t xml:space="preserve">여자               :</t>
  </si>
  <si>
    <t xml:space="preserve">2.신용등급 컬럼에서 fair과 excellent 각각의 수를 세시오(COUNTIF문 이용)</t>
  </si>
  <si>
    <t xml:space="preserve">excellent       :        </t>
  </si>
  <si>
    <t xml:space="preserve">fair               :  </t>
  </si>
  <si>
    <t xml:space="preserve">3. 주거지가 김해이고 수입이 low이고 성별이 여자이고 신용등급이 excellent인 사람의 명수를 구하시오(COUNTIF문 이용)</t>
  </si>
  <si>
    <t xml:space="preserve">답                 :</t>
  </si>
  <si>
    <t xml:space="preserve">X =(주거지 = 김해, 수입 = medium, 성별 = 남자, 신용등급=excellent) </t>
  </si>
  <si>
    <t xml:space="preserve">4. 위의 테이블을 참고하여 각각의 주어진 확률 값을 구하시오 단 소수점 셋째 자리까지 구하시오. (COUNTIF문, ROUND함수 사용)</t>
  </si>
  <si>
    <t xml:space="preserve">P(강아지 입양 여부=yes) &lt; 모든 사람들 중에서 얼마나 많은 비율이 강아지를 입양하였는지를 나타냄</t>
  </si>
  <si>
    <t xml:space="preserve">P(강아지 입양 여부 = no) &lt;- 모든 사람들 중에서 얼마나 많은 비율이 강아지를 입양하지 않았는지를 나타냄</t>
  </si>
  <si>
    <t xml:space="preserve">P(주거지=김해 | 강아지 입양 여부=yes) &lt;-강아지를 입양한 사람들 중에서 주거지가 '김해'인 사람의 비율</t>
  </si>
  <si>
    <t xml:space="preserve">P(주거지=김해 | 강아지 입양 여부=no) &lt;-강아지를 입양하지 않은 사람들 중에서 주거지가 김해인 사람의 비율</t>
  </si>
  <si>
    <t xml:space="preserve">P(수입=medium | 강아지 입양 여부=yes) &lt;-강아지를 입양한 사람들 중에서 수입이 medium인 사람의 비율</t>
  </si>
  <si>
    <t xml:space="preserve">P(수입=medium |강아지 입양 여부=no) &lt;-강아지를 입양하지 않은 사람들 중에서 수입이 medium인 사람의 비율</t>
  </si>
  <si>
    <t xml:space="preserve">P(성별=남자 | 강아지 입양 여부=yes)&lt;-강아지를 입양한 사람들 중에서 성별이 남자인 사람의 비율</t>
  </si>
  <si>
    <t xml:space="preserve">P(성별=남자 | 강아지 입양 여부=no)&lt;-강아지를 입양 하지 않은 사람들 중에서 성별이 남자인 사람의 비율</t>
  </si>
  <si>
    <t xml:space="preserve">P(신용등급=excellent | 강아지 입양 여부=yes)&lt;-강아지를 입양한 사람들 중에서 신용등급이 excellent인 사람의 비율</t>
  </si>
  <si>
    <t xml:space="preserve">P(신용등급=excellent | 강아지 입양 여부=no)&lt;-강아지를 입양 하지 않은 사람들 중에서 신용등급이 excellent인 사람의 비율</t>
  </si>
  <si>
    <t xml:space="preserve">5. 아래와 같이 X라는 사람의 조건이 주어졌을 때 P(X|강아지 입양 여부 = yes, no)인 확률을 구하시오(위에 확률들 참고해서 작성)</t>
  </si>
  <si>
    <t xml:space="preserve">X =(주거지 = 김해, 수입 = medium, 성별 = 남자, 신용등급=fair) </t>
  </si>
  <si>
    <t xml:space="preserve">답  (yes)         :       </t>
  </si>
  <si>
    <t xml:space="preserve">답  (no)          :       </t>
  </si>
  <si>
    <t xml:space="preserve">6. (1)P(X|강아지 입양 여부=yes) * P(강아지 입양 여부 = yes),  (2)P(X|강아지 입양 여부=no) * P(강아지 입양 여부 = no) 의 확률을 구하시오</t>
  </si>
  <si>
    <t xml:space="preserve">답  (1)           :       </t>
  </si>
  <si>
    <t xml:space="preserve">답  (2)           :       </t>
  </si>
  <si>
    <t xml:space="preserve">7. 6번에서 두 확률을 비교하고 큰 값을 적으시오</t>
  </si>
  <si>
    <t xml:space="preserve">답                 : 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</si>
</sst>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맑은 고딕"/>
      <family val="3"/>
      <charset val="129"/>
    </font>
    <font>
      <b val="true"/>
      <sz val="14"/>
      <color rgb="FF000000"/>
      <name val="맑은 고딕"/>
      <family val="3"/>
      <charset val="129"/>
    </font>
    <font>
      <b val="true"/>
      <sz val="14"/>
      <color rgb="FFFF0000"/>
      <name val="맑은 고딕"/>
      <family val="3"/>
      <charset val="129"/>
    </font>
    <font>
      <b val="true"/>
      <sz val="11"/>
      <color rgb="FF4F81BD"/>
      <name val="맑은 고딕"/>
      <family val="3"/>
      <charset val="129"/>
    </font>
    <font>
      <b val="true"/>
      <sz val="11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DEADA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91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D79" activeCellId="0" sqref="D79"/>
    </sheetView>
  </sheetViews>
  <sheetFormatPr defaultColWidth="8.609375" defaultRowHeight="16.5" zeroHeight="false" outlineLevelRow="0" outlineLevelCol="0"/>
  <cols>
    <col collapsed="false" customWidth="true" hidden="false" outlineLevel="0" max="1" min="1" style="0" width="13.37"/>
    <col collapsed="false" customWidth="true" hidden="false" outlineLevel="0" max="2" min="2" style="0" width="11.5"/>
    <col collapsed="false" customWidth="true" hidden="false" outlineLevel="0" max="4" min="4" style="0" width="12.75"/>
    <col collapsed="false" customWidth="true" hidden="false" outlineLevel="0" max="5" min="5" style="0" width="13"/>
    <col collapsed="false" customWidth="true" hidden="false" outlineLevel="0" max="6" min="6" style="0" width="14.75"/>
    <col collapsed="false" customWidth="true" hidden="false" outlineLevel="0" max="7" min="7" style="0" width="45.26"/>
    <col collapsed="false" customWidth="true" hidden="false" outlineLevel="0" max="9" min="9" style="0" width="13"/>
    <col collapsed="false" customWidth="true" hidden="false" outlineLevel="0" max="10" min="10" style="0" width="48.75"/>
    <col collapsed="false" customWidth="true" hidden="false" outlineLevel="0" max="13" min="13" style="0" width="16.75"/>
  </cols>
  <sheetData>
    <row r="1" customFormat="false" ht="16.5" hidden="false" customHeight="false" outlineLevel="0" collapsed="false">
      <c r="I1" s="1"/>
    </row>
    <row r="2" customFormat="false" ht="16.5" hidden="false" customHeight="false" outlineLevel="0" collapsed="false">
      <c r="A2" s="2" t="s">
        <v>0</v>
      </c>
      <c r="B2" s="3"/>
      <c r="C2" s="3"/>
      <c r="D2" s="3"/>
      <c r="E2" s="3"/>
      <c r="F2" s="3"/>
      <c r="G2" s="3"/>
      <c r="H2" s="3"/>
      <c r="I2" s="3"/>
    </row>
    <row r="3" customFormat="false" ht="16.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</row>
    <row r="4" customFormat="false" ht="16.5" hidden="false" customHeight="false" outlineLevel="0" collapsed="false">
      <c r="A4" s="6" t="n">
        <v>1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customFormat="false" ht="16.5" hidden="false" customHeight="false" outlineLevel="0" collapsed="false">
      <c r="A5" s="6" t="n">
        <v>2</v>
      </c>
      <c r="B5" s="6" t="s">
        <v>12</v>
      </c>
      <c r="C5" s="6" t="s">
        <v>8</v>
      </c>
      <c r="D5" s="6" t="s">
        <v>9</v>
      </c>
      <c r="E5" s="6" t="s">
        <v>13</v>
      </c>
      <c r="F5" s="6" t="s">
        <v>11</v>
      </c>
    </row>
    <row r="6" customFormat="false" ht="16.5" hidden="false" customHeight="false" outlineLevel="0" collapsed="false">
      <c r="A6" s="6" t="n">
        <v>3</v>
      </c>
      <c r="B6" s="6" t="s">
        <v>14</v>
      </c>
      <c r="C6" s="6" t="s">
        <v>8</v>
      </c>
      <c r="D6" s="6" t="s">
        <v>15</v>
      </c>
      <c r="E6" s="6" t="s">
        <v>10</v>
      </c>
      <c r="F6" s="6" t="s">
        <v>16</v>
      </c>
    </row>
    <row r="7" customFormat="false" ht="16.5" hidden="false" customHeight="false" outlineLevel="0" collapsed="false">
      <c r="A7" s="6" t="n">
        <v>4</v>
      </c>
      <c r="B7" s="6" t="s">
        <v>7</v>
      </c>
      <c r="C7" s="6" t="s">
        <v>17</v>
      </c>
      <c r="D7" s="6" t="s">
        <v>9</v>
      </c>
      <c r="E7" s="6" t="s">
        <v>10</v>
      </c>
      <c r="F7" s="6" t="s">
        <v>16</v>
      </c>
    </row>
    <row r="8" customFormat="false" ht="16.5" hidden="false" customHeight="false" outlineLevel="0" collapsed="false">
      <c r="A8" s="6" t="n">
        <v>5</v>
      </c>
      <c r="B8" s="6" t="s">
        <v>18</v>
      </c>
      <c r="C8" s="6" t="s">
        <v>19</v>
      </c>
      <c r="D8" s="6" t="s">
        <v>15</v>
      </c>
      <c r="E8" s="6" t="s">
        <v>10</v>
      </c>
      <c r="F8" s="6" t="s">
        <v>16</v>
      </c>
    </row>
    <row r="9" customFormat="false" ht="16.5" hidden="false" customHeight="false" outlineLevel="0" collapsed="false">
      <c r="A9" s="6" t="n">
        <v>6</v>
      </c>
      <c r="B9" s="6" t="s">
        <v>20</v>
      </c>
      <c r="C9" s="6" t="s">
        <v>17</v>
      </c>
      <c r="D9" s="6" t="s">
        <v>9</v>
      </c>
      <c r="E9" s="6" t="s">
        <v>10</v>
      </c>
      <c r="F9" s="6" t="s">
        <v>11</v>
      </c>
      <c r="I9" s="7" t="s">
        <v>21</v>
      </c>
    </row>
    <row r="10" customFormat="false" ht="16.5" hidden="false" customHeight="false" outlineLevel="0" collapsed="false">
      <c r="A10" s="6" t="n">
        <v>7</v>
      </c>
      <c r="B10" s="6" t="s">
        <v>20</v>
      </c>
      <c r="C10" s="6" t="s">
        <v>17</v>
      </c>
      <c r="D10" s="6" t="s">
        <v>9</v>
      </c>
      <c r="E10" s="6" t="s">
        <v>10</v>
      </c>
      <c r="F10" s="6" t="s">
        <v>16</v>
      </c>
    </row>
    <row r="11" customFormat="false" ht="16.5" hidden="false" customHeight="false" outlineLevel="0" collapsed="false">
      <c r="A11" s="6" t="n">
        <v>8</v>
      </c>
      <c r="B11" s="6" t="s">
        <v>22</v>
      </c>
      <c r="C11" s="6" t="s">
        <v>17</v>
      </c>
      <c r="D11" s="6" t="s">
        <v>9</v>
      </c>
      <c r="E11" s="6" t="s">
        <v>10</v>
      </c>
      <c r="F11" s="6" t="s">
        <v>16</v>
      </c>
    </row>
    <row r="12" customFormat="false" ht="16.5" hidden="false" customHeight="false" outlineLevel="0" collapsed="false">
      <c r="A12" s="6" t="n">
        <v>9</v>
      </c>
      <c r="B12" s="6" t="s">
        <v>20</v>
      </c>
      <c r="C12" s="6" t="s">
        <v>19</v>
      </c>
      <c r="D12" s="6" t="s">
        <v>15</v>
      </c>
      <c r="E12" s="6" t="s">
        <v>10</v>
      </c>
      <c r="F12" s="6" t="s">
        <v>11</v>
      </c>
    </row>
    <row r="13" customFormat="false" ht="16.5" hidden="false" customHeight="false" outlineLevel="0" collapsed="false">
      <c r="A13" s="6" t="n">
        <v>10</v>
      </c>
      <c r="B13" s="6" t="s">
        <v>20</v>
      </c>
      <c r="C13" s="6" t="s">
        <v>17</v>
      </c>
      <c r="D13" s="6" t="s">
        <v>9</v>
      </c>
      <c r="E13" s="6" t="s">
        <v>10</v>
      </c>
      <c r="F13" s="6" t="s">
        <v>11</v>
      </c>
    </row>
    <row r="14" customFormat="false" ht="16.5" hidden="false" customHeight="false" outlineLevel="0" collapsed="false">
      <c r="A14" s="6" t="n">
        <v>11</v>
      </c>
      <c r="B14" s="6" t="s">
        <v>22</v>
      </c>
      <c r="C14" s="6" t="s">
        <v>17</v>
      </c>
      <c r="D14" s="6" t="s">
        <v>9</v>
      </c>
      <c r="E14" s="6" t="s">
        <v>13</v>
      </c>
      <c r="F14" s="6" t="s">
        <v>16</v>
      </c>
    </row>
    <row r="15" customFormat="false" ht="16.5" hidden="false" customHeight="false" outlineLevel="0" collapsed="false">
      <c r="A15" s="6" t="n">
        <v>12</v>
      </c>
      <c r="B15" s="6" t="s">
        <v>18</v>
      </c>
      <c r="C15" s="6" t="s">
        <v>17</v>
      </c>
      <c r="D15" s="6" t="s">
        <v>9</v>
      </c>
      <c r="E15" s="6" t="s">
        <v>13</v>
      </c>
      <c r="F15" s="6" t="s">
        <v>16</v>
      </c>
    </row>
    <row r="16" customFormat="false" ht="16.5" hidden="false" customHeight="false" outlineLevel="0" collapsed="false">
      <c r="A16" s="6" t="n">
        <v>13</v>
      </c>
      <c r="B16" s="6" t="s">
        <v>20</v>
      </c>
      <c r="C16" s="6" t="s">
        <v>8</v>
      </c>
      <c r="D16" s="6" t="s">
        <v>15</v>
      </c>
      <c r="E16" s="6" t="s">
        <v>10</v>
      </c>
      <c r="F16" s="6" t="s">
        <v>16</v>
      </c>
    </row>
    <row r="17" customFormat="false" ht="16.5" hidden="false" customHeight="false" outlineLevel="0" collapsed="false">
      <c r="A17" s="6" t="n">
        <v>14</v>
      </c>
      <c r="B17" s="6" t="s">
        <v>12</v>
      </c>
      <c r="C17" s="6" t="s">
        <v>17</v>
      </c>
      <c r="D17" s="6" t="s">
        <v>9</v>
      </c>
      <c r="E17" s="6" t="s">
        <v>13</v>
      </c>
      <c r="F17" s="6" t="s">
        <v>11</v>
      </c>
    </row>
    <row r="19" customFormat="false" ht="20.25" hidden="false" customHeight="false" outlineLevel="0" collapsed="false">
      <c r="A19" s="8" t="s">
        <v>23</v>
      </c>
      <c r="F19" s="9"/>
      <c r="K19" s="9"/>
    </row>
    <row r="21" customFormat="false" ht="16.5" hidden="false" customHeight="false" outlineLevel="0" collapsed="false">
      <c r="A21" s="10" t="s">
        <v>24</v>
      </c>
      <c r="B21" s="10"/>
      <c r="C21" s="10"/>
      <c r="D21" s="10"/>
      <c r="E21" s="10"/>
    </row>
    <row r="22" customFormat="false" ht="16.5" hidden="false" customHeight="false" outlineLevel="0" collapsed="false">
      <c r="A22" s="10" t="s">
        <v>25</v>
      </c>
      <c r="B22" s="11" t="n">
        <f aca="false">COUNTIF(D4:D17,"남자")</f>
        <v>10</v>
      </c>
    </row>
    <row r="23" customFormat="false" ht="16.5" hidden="false" customHeight="false" outlineLevel="0" collapsed="false">
      <c r="A23" s="10" t="s">
        <v>26</v>
      </c>
      <c r="B23" s="11" t="n">
        <f aca="false">COUNTIF(D4:D17,"여자")</f>
        <v>4</v>
      </c>
    </row>
    <row r="26" customFormat="false" ht="16.5" hidden="false" customHeight="false" outlineLevel="0" collapsed="false">
      <c r="A26" s="10" t="s">
        <v>27</v>
      </c>
      <c r="B26" s="10"/>
      <c r="C26" s="10"/>
      <c r="D26" s="10"/>
      <c r="E26" s="10"/>
      <c r="F26" s="10"/>
    </row>
    <row r="27" customFormat="false" ht="16.5" hidden="false" customHeight="false" outlineLevel="0" collapsed="false">
      <c r="A27" s="10" t="s">
        <v>28</v>
      </c>
      <c r="B27" s="11" t="n">
        <f aca="false">COUNTIF(E4:E17,"excellent")</f>
        <v>4</v>
      </c>
    </row>
    <row r="28" customFormat="false" ht="16.5" hidden="false" customHeight="false" outlineLevel="0" collapsed="false">
      <c r="A28" s="10" t="s">
        <v>29</v>
      </c>
      <c r="B28" s="11" t="n">
        <f aca="false">COUNTIF(E4:E17,"fair")</f>
        <v>10</v>
      </c>
    </row>
    <row r="31" customFormat="false" ht="16.5" hidden="false" customHeight="false" outlineLevel="0" collapsed="false">
      <c r="A31" s="10" t="s">
        <v>30</v>
      </c>
      <c r="B31" s="10"/>
      <c r="C31" s="10"/>
      <c r="D31" s="10"/>
      <c r="E31" s="10"/>
      <c r="F31" s="10"/>
      <c r="G31" s="10"/>
    </row>
    <row r="32" customFormat="false" ht="16.5" hidden="false" customHeight="false" outlineLevel="0" collapsed="false">
      <c r="A32" s="10" t="s">
        <v>31</v>
      </c>
      <c r="B32" s="11" t="n">
        <f aca="false">COUNTIFS(B4:B17,"김해",C4:C17,"low",D4:D17,"여자",E4:E17,"excellent")</f>
        <v>0</v>
      </c>
    </row>
    <row r="34" customFormat="false" ht="16.5" hidden="false" customHeight="false" outlineLevel="0" collapsed="false">
      <c r="A34" s="12" t="s">
        <v>32</v>
      </c>
      <c r="B34" s="12"/>
      <c r="C34" s="12"/>
      <c r="D34" s="12"/>
      <c r="E34" s="10"/>
    </row>
    <row r="35" customFormat="false" ht="20.25" hidden="false" customHeight="false" outlineLevel="0" collapsed="false">
      <c r="A35" s="13" t="s">
        <v>33</v>
      </c>
      <c r="B35" s="13"/>
      <c r="C35" s="13"/>
      <c r="D35" s="13"/>
      <c r="E35" s="13"/>
      <c r="F35" s="13"/>
      <c r="G35" s="13"/>
    </row>
    <row r="36" customFormat="false" ht="20.25" hidden="false" customHeight="false" outlineLevel="0" collapsed="false">
      <c r="A36" s="12" t="s">
        <v>34</v>
      </c>
      <c r="B36" s="12"/>
      <c r="C36" s="9"/>
      <c r="D36" s="9"/>
      <c r="E36" s="9"/>
      <c r="F36" s="9"/>
      <c r="AR36" s="14"/>
      <c r="AS36" s="5"/>
    </row>
    <row r="37" customFormat="false" ht="16.5" hidden="false" customHeight="false" outlineLevel="0" collapsed="false">
      <c r="A37" s="10" t="s">
        <v>31</v>
      </c>
      <c r="B37" s="11" t="n">
        <f aca="false">COUNTIF(F4:F17,"yes")</f>
        <v>8</v>
      </c>
      <c r="C37" s="9"/>
      <c r="D37" s="9"/>
      <c r="AR37" s="15"/>
      <c r="AS37" s="16"/>
    </row>
    <row r="38" customFormat="false" ht="16.5" hidden="false" customHeight="false" outlineLevel="0" collapsed="false">
      <c r="AR38" s="15"/>
      <c r="AS38" s="16"/>
    </row>
    <row r="39" customFormat="false" ht="16.5" hidden="false" customHeight="false" outlineLevel="0" collapsed="false">
      <c r="A39" s="12" t="s">
        <v>35</v>
      </c>
      <c r="B39" s="10"/>
      <c r="C39" s="10"/>
      <c r="AR39" s="15"/>
      <c r="AS39" s="16"/>
    </row>
    <row r="40" customFormat="false" ht="16.5" hidden="false" customHeight="false" outlineLevel="0" collapsed="false">
      <c r="A40" s="12" t="s">
        <v>31</v>
      </c>
      <c r="B40" s="17" t="n">
        <f aca="false">COUNTIF(F4:F17,"no")</f>
        <v>6</v>
      </c>
      <c r="C40" s="10"/>
      <c r="AR40" s="15"/>
      <c r="AS40" s="16"/>
    </row>
    <row r="41" customFormat="false" ht="16.5" hidden="false" customHeight="false" outlineLevel="0" collapsed="false">
      <c r="A41" s="10"/>
      <c r="B41" s="10"/>
      <c r="C41" s="10"/>
      <c r="AR41" s="15"/>
      <c r="AS41" s="16"/>
    </row>
    <row r="42" customFormat="false" ht="16.5" hidden="false" customHeight="false" outlineLevel="0" collapsed="false">
      <c r="A42" s="12" t="s">
        <v>36</v>
      </c>
      <c r="B42" s="10"/>
      <c r="C42" s="10"/>
      <c r="H42" s="2" t="s">
        <v>0</v>
      </c>
      <c r="I42" s="3"/>
      <c r="J42" s="3"/>
      <c r="K42" s="3"/>
      <c r="L42" s="3"/>
      <c r="M42" s="3"/>
      <c r="AR42" s="15"/>
      <c r="AS42" s="16"/>
    </row>
    <row r="43" customFormat="false" ht="16.5" hidden="false" customHeight="false" outlineLevel="0" collapsed="false">
      <c r="A43" s="12" t="s">
        <v>31</v>
      </c>
      <c r="B43" s="17" t="n">
        <f aca="false">(COUNTIFS(B4:B17,"김해",F4:F17,"yes"))/COUNTIF(F4:F17,"yes")</f>
        <v>0.25</v>
      </c>
      <c r="H43" s="4" t="s">
        <v>1</v>
      </c>
      <c r="I43" s="4" t="s">
        <v>2</v>
      </c>
      <c r="J43" s="4" t="s">
        <v>3</v>
      </c>
      <c r="K43" s="4" t="s">
        <v>4</v>
      </c>
      <c r="L43" s="4" t="s">
        <v>5</v>
      </c>
      <c r="M43" s="5" t="s">
        <v>6</v>
      </c>
      <c r="AR43" s="15"/>
      <c r="AS43" s="16"/>
    </row>
    <row r="44" customFormat="false" ht="16.5" hidden="false" customHeight="false" outlineLevel="0" collapsed="false">
      <c r="H44" s="6" t="n">
        <v>1</v>
      </c>
      <c r="I44" s="6" t="s">
        <v>7</v>
      </c>
      <c r="J44" s="6" t="s">
        <v>8</v>
      </c>
      <c r="K44" s="6" t="s">
        <v>9</v>
      </c>
      <c r="L44" s="6" t="s">
        <v>10</v>
      </c>
      <c r="M44" s="6" t="s">
        <v>11</v>
      </c>
      <c r="AR44" s="15"/>
      <c r="AS44" s="16"/>
    </row>
    <row r="45" customFormat="false" ht="16.5" hidden="false" customHeight="false" outlineLevel="0" collapsed="false">
      <c r="A45" s="12" t="s">
        <v>37</v>
      </c>
      <c r="B45" s="10"/>
      <c r="C45" s="10"/>
      <c r="H45" s="6" t="n">
        <v>2</v>
      </c>
      <c r="I45" s="6" t="s">
        <v>12</v>
      </c>
      <c r="J45" s="6" t="s">
        <v>8</v>
      </c>
      <c r="K45" s="6" t="s">
        <v>9</v>
      </c>
      <c r="L45" s="6" t="s">
        <v>13</v>
      </c>
      <c r="M45" s="6" t="s">
        <v>11</v>
      </c>
      <c r="AR45" s="15"/>
      <c r="AS45" s="16"/>
    </row>
    <row r="46" customFormat="false" ht="16.5" hidden="false" customHeight="false" outlineLevel="0" collapsed="false">
      <c r="A46" s="12" t="s">
        <v>31</v>
      </c>
      <c r="B46" s="17" t="n">
        <f aca="false">(COUNTIFS(B4:B17,"김해",F4:F17,"no"))/COUNTIF(F4:F17,"no")</f>
        <v>0.5</v>
      </c>
      <c r="H46" s="6" t="n">
        <v>3</v>
      </c>
      <c r="I46" s="6" t="s">
        <v>14</v>
      </c>
      <c r="J46" s="6" t="s">
        <v>8</v>
      </c>
      <c r="K46" s="6" t="s">
        <v>15</v>
      </c>
      <c r="L46" s="6" t="s">
        <v>10</v>
      </c>
      <c r="M46" s="6" t="s">
        <v>16</v>
      </c>
      <c r="AR46" s="15"/>
      <c r="AS46" s="16"/>
    </row>
    <row r="47" customFormat="false" ht="16.5" hidden="false" customHeight="false" outlineLevel="0" collapsed="false">
      <c r="H47" s="6" t="n">
        <v>4</v>
      </c>
      <c r="I47" s="6" t="s">
        <v>7</v>
      </c>
      <c r="J47" s="6" t="s">
        <v>17</v>
      </c>
      <c r="K47" s="6" t="s">
        <v>9</v>
      </c>
      <c r="L47" s="6" t="s">
        <v>10</v>
      </c>
      <c r="M47" s="6" t="s">
        <v>16</v>
      </c>
    </row>
    <row r="48" customFormat="false" ht="16.5" hidden="false" customHeight="false" outlineLevel="0" collapsed="false">
      <c r="A48" s="12" t="s">
        <v>38</v>
      </c>
      <c r="H48" s="6" t="n">
        <v>5</v>
      </c>
      <c r="I48" s="6" t="s">
        <v>18</v>
      </c>
      <c r="J48" s="6" t="s">
        <v>19</v>
      </c>
      <c r="K48" s="6" t="s">
        <v>15</v>
      </c>
      <c r="L48" s="6" t="s">
        <v>10</v>
      </c>
      <c r="M48" s="6" t="s">
        <v>16</v>
      </c>
    </row>
    <row r="49" customFormat="false" ht="16.5" hidden="false" customHeight="false" outlineLevel="0" collapsed="false">
      <c r="A49" s="10" t="s">
        <v>31</v>
      </c>
      <c r="B49" s="17" t="n">
        <f aca="false">(COUNTIFS(C4:C17,"medium",F4:F17,"yes"))/COUNTIF(F4:F17,"yes")</f>
        <v>0.625</v>
      </c>
      <c r="H49" s="6" t="n">
        <v>6</v>
      </c>
      <c r="I49" s="6" t="s">
        <v>20</v>
      </c>
      <c r="J49" s="6" t="s">
        <v>17</v>
      </c>
      <c r="K49" s="6" t="s">
        <v>9</v>
      </c>
      <c r="L49" s="6" t="s">
        <v>10</v>
      </c>
      <c r="M49" s="6" t="s">
        <v>11</v>
      </c>
    </row>
    <row r="50" customFormat="false" ht="16.5" hidden="false" customHeight="false" outlineLevel="0" collapsed="false">
      <c r="H50" s="6" t="n">
        <v>7</v>
      </c>
      <c r="I50" s="6" t="s">
        <v>20</v>
      </c>
      <c r="J50" s="6" t="s">
        <v>17</v>
      </c>
      <c r="K50" s="6" t="s">
        <v>9</v>
      </c>
      <c r="L50" s="6" t="s">
        <v>10</v>
      </c>
      <c r="M50" s="6" t="s">
        <v>16</v>
      </c>
    </row>
    <row r="51" customFormat="false" ht="16.5" hidden="false" customHeight="false" outlineLevel="0" collapsed="false">
      <c r="A51" s="10" t="s">
        <v>39</v>
      </c>
      <c r="H51" s="6" t="n">
        <v>8</v>
      </c>
      <c r="I51" s="6" t="s">
        <v>22</v>
      </c>
      <c r="J51" s="6" t="s">
        <v>17</v>
      </c>
      <c r="K51" s="6" t="s">
        <v>9</v>
      </c>
      <c r="L51" s="6" t="s">
        <v>10</v>
      </c>
      <c r="M51" s="6" t="s">
        <v>16</v>
      </c>
    </row>
    <row r="52" customFormat="false" ht="16.5" hidden="false" customHeight="false" outlineLevel="0" collapsed="false">
      <c r="A52" s="10" t="s">
        <v>31</v>
      </c>
      <c r="B52" s="17" t="n">
        <f aca="false">COUNTIFS(C4:C17,"medium",F4:F17,"no")/COUNTIF(F4:F17,"no")</f>
        <v>0.5</v>
      </c>
      <c r="H52" s="6" t="n">
        <v>9</v>
      </c>
      <c r="I52" s="6" t="s">
        <v>20</v>
      </c>
      <c r="J52" s="6" t="s">
        <v>19</v>
      </c>
      <c r="K52" s="6" t="s">
        <v>15</v>
      </c>
      <c r="L52" s="6" t="s">
        <v>10</v>
      </c>
      <c r="M52" s="6" t="s">
        <v>11</v>
      </c>
    </row>
    <row r="53" customFormat="false" ht="16.5" hidden="false" customHeight="false" outlineLevel="0" collapsed="false">
      <c r="H53" s="6" t="n">
        <v>10</v>
      </c>
      <c r="I53" s="6" t="s">
        <v>20</v>
      </c>
      <c r="J53" s="6" t="s">
        <v>17</v>
      </c>
      <c r="K53" s="6" t="s">
        <v>9</v>
      </c>
      <c r="L53" s="6" t="s">
        <v>10</v>
      </c>
      <c r="M53" s="6" t="s">
        <v>11</v>
      </c>
    </row>
    <row r="54" customFormat="false" ht="16.5" hidden="false" customHeight="false" outlineLevel="0" collapsed="false">
      <c r="A54" s="10" t="s">
        <v>40</v>
      </c>
      <c r="H54" s="6" t="n">
        <v>11</v>
      </c>
      <c r="I54" s="6" t="s">
        <v>22</v>
      </c>
      <c r="J54" s="6" t="s">
        <v>17</v>
      </c>
      <c r="K54" s="6" t="s">
        <v>9</v>
      </c>
      <c r="L54" s="6" t="s">
        <v>13</v>
      </c>
      <c r="M54" s="6" t="s">
        <v>16</v>
      </c>
    </row>
    <row r="55" customFormat="false" ht="16.5" hidden="false" customHeight="false" outlineLevel="0" collapsed="false">
      <c r="A55" s="10" t="s">
        <v>31</v>
      </c>
      <c r="B55" s="17" t="n">
        <f aca="false">COUNTIFS(K44:K57, "남자", M44:M57, "yes") / COUNTIF(M44:M57, "yes")</f>
        <v>0.625</v>
      </c>
      <c r="H55" s="6" t="n">
        <v>12</v>
      </c>
      <c r="I55" s="6" t="s">
        <v>18</v>
      </c>
      <c r="J55" s="6" t="s">
        <v>17</v>
      </c>
      <c r="K55" s="6" t="s">
        <v>9</v>
      </c>
      <c r="L55" s="6" t="s">
        <v>13</v>
      </c>
      <c r="M55" s="6" t="s">
        <v>16</v>
      </c>
    </row>
    <row r="56" customFormat="false" ht="16.5" hidden="false" customHeight="false" outlineLevel="0" collapsed="false">
      <c r="H56" s="6" t="n">
        <v>13</v>
      </c>
      <c r="I56" s="6" t="s">
        <v>20</v>
      </c>
      <c r="J56" s="6" t="s">
        <v>8</v>
      </c>
      <c r="K56" s="6" t="s">
        <v>15</v>
      </c>
      <c r="L56" s="6" t="s">
        <v>10</v>
      </c>
      <c r="M56" s="6" t="s">
        <v>16</v>
      </c>
    </row>
    <row r="57" customFormat="false" ht="16.5" hidden="false" customHeight="false" outlineLevel="0" collapsed="false">
      <c r="A57" s="10" t="s">
        <v>41</v>
      </c>
      <c r="H57" s="6" t="n">
        <v>14</v>
      </c>
      <c r="I57" s="6" t="s">
        <v>12</v>
      </c>
      <c r="J57" s="6" t="s">
        <v>17</v>
      </c>
      <c r="K57" s="6" t="s">
        <v>9</v>
      </c>
      <c r="L57" s="6" t="s">
        <v>13</v>
      </c>
      <c r="M57" s="6" t="s">
        <v>11</v>
      </c>
    </row>
    <row r="58" customFormat="false" ht="16.5" hidden="false" customHeight="false" outlineLevel="0" collapsed="false">
      <c r="A58" s="10" t="s">
        <v>31</v>
      </c>
      <c r="B58" s="17" t="n">
        <f aca="false">ROUND(COUNTIFS(K44:K57, "남자", M44:M57, "no") / COUNTIF(M44:M57, "no"),3)</f>
        <v>0.833</v>
      </c>
    </row>
    <row r="60" customFormat="false" ht="16.5" hidden="false" customHeight="false" outlineLevel="0" collapsed="false">
      <c r="A60" s="10" t="s">
        <v>42</v>
      </c>
    </row>
    <row r="61" customFormat="false" ht="16.5" hidden="false" customHeight="false" outlineLevel="0" collapsed="false">
      <c r="A61" s="10" t="s">
        <v>31</v>
      </c>
      <c r="B61" s="17" t="n">
        <f aca="false">COUNTIFS(L44:L57, "excellent", M44:M57, "yes") / COUNTIF(M44:M57, "yes")</f>
        <v>0.25</v>
      </c>
    </row>
    <row r="63" customFormat="false" ht="16.5" hidden="false" customHeight="false" outlineLevel="0" collapsed="false">
      <c r="A63" s="10" t="s">
        <v>43</v>
      </c>
    </row>
    <row r="64" customFormat="false" ht="16.5" hidden="false" customHeight="false" outlineLevel="0" collapsed="false">
      <c r="A64" s="10" t="s">
        <v>31</v>
      </c>
      <c r="B64" s="17" t="n">
        <f aca="false">ROUND(COUNTIFS(L44:L57, "excellent", M44:M57, "no") / COUNTIF(M44:M57, "no"), 3)</f>
        <v>0.333</v>
      </c>
    </row>
    <row r="68" customFormat="false" ht="20.25" hidden="false" customHeight="false" outlineLevel="0" collapsed="false">
      <c r="A68" s="13" t="s">
        <v>44</v>
      </c>
      <c r="B68" s="13"/>
      <c r="C68" s="13"/>
      <c r="D68" s="13"/>
      <c r="E68" s="13"/>
      <c r="F68" s="13"/>
      <c r="G68" s="13"/>
    </row>
    <row r="69" customFormat="false" ht="16.5" hidden="false" customHeight="false" outlineLevel="0" collapsed="false">
      <c r="A69" s="12" t="s">
        <v>45</v>
      </c>
      <c r="B69" s="12"/>
      <c r="C69" s="12"/>
      <c r="D69" s="12"/>
      <c r="E69" s="10"/>
      <c r="F69" s="10"/>
      <c r="G69" s="10"/>
    </row>
    <row r="71" customFormat="false" ht="16.5" hidden="false" customHeight="false" outlineLevel="0" collapsed="false">
      <c r="A71" s="10" t="s">
        <v>46</v>
      </c>
      <c r="B71" s="17" t="n">
        <f aca="false">ROUND(B43*B49*B55*B61*(8/14),3)</f>
        <v>0.014</v>
      </c>
    </row>
    <row r="72" customFormat="false" ht="16.5" hidden="false" customHeight="false" outlineLevel="0" collapsed="false">
      <c r="A72" s="10" t="s">
        <v>47</v>
      </c>
      <c r="B72" s="17" t="n">
        <f aca="false">ROUND(B46*B52*B58*B64*(6/14),3)</f>
        <v>0.03</v>
      </c>
    </row>
    <row r="75" customFormat="false" ht="16.5" hidden="false" customHeight="false" outlineLevel="0" collapsed="false">
      <c r="A75" s="10" t="s">
        <v>48</v>
      </c>
    </row>
    <row r="76" customFormat="false" ht="16.5" hidden="false" customHeight="false" outlineLevel="0" collapsed="false">
      <c r="H76" s="2" t="s">
        <v>0</v>
      </c>
      <c r="I76" s="3"/>
      <c r="J76" s="3"/>
      <c r="K76" s="3"/>
      <c r="L76" s="3"/>
      <c r="M76" s="3"/>
    </row>
    <row r="77" customFormat="false" ht="16.5" hidden="false" customHeight="false" outlineLevel="0" collapsed="false">
      <c r="A77" s="10" t="s">
        <v>49</v>
      </c>
      <c r="B77" s="17" t="n">
        <f aca="false">B71*(B37/14)</f>
        <v>0.008</v>
      </c>
      <c r="H77" s="4" t="s">
        <v>1</v>
      </c>
      <c r="I77" s="4" t="s">
        <v>2</v>
      </c>
      <c r="J77" s="4" t="s">
        <v>3</v>
      </c>
      <c r="K77" s="4" t="s">
        <v>4</v>
      </c>
      <c r="L77" s="4" t="s">
        <v>5</v>
      </c>
      <c r="M77" s="5" t="s">
        <v>6</v>
      </c>
    </row>
    <row r="78" customFormat="false" ht="16.5" hidden="false" customHeight="false" outlineLevel="0" collapsed="false">
      <c r="A78" s="10" t="s">
        <v>50</v>
      </c>
      <c r="B78" s="17" t="n">
        <f aca="false">ROUND(B72*(B40/14),3)</f>
        <v>0.013</v>
      </c>
      <c r="H78" s="6" t="n">
        <v>1</v>
      </c>
      <c r="I78" s="6" t="s">
        <v>7</v>
      </c>
      <c r="J78" s="6" t="s">
        <v>8</v>
      </c>
      <c r="K78" s="6" t="s">
        <v>9</v>
      </c>
      <c r="L78" s="6" t="s">
        <v>10</v>
      </c>
      <c r="M78" s="6" t="s">
        <v>11</v>
      </c>
    </row>
    <row r="79" customFormat="false" ht="16.5" hidden="false" customHeight="false" outlineLevel="0" collapsed="false">
      <c r="H79" s="6" t="n">
        <v>2</v>
      </c>
      <c r="I79" s="6" t="s">
        <v>12</v>
      </c>
      <c r="J79" s="6" t="s">
        <v>8</v>
      </c>
      <c r="K79" s="6" t="s">
        <v>9</v>
      </c>
      <c r="L79" s="6" t="s">
        <v>13</v>
      </c>
      <c r="M79" s="6" t="s">
        <v>11</v>
      </c>
    </row>
    <row r="80" customFormat="false" ht="16.5" hidden="false" customHeight="false" outlineLevel="0" collapsed="false">
      <c r="H80" s="6" t="n">
        <v>3</v>
      </c>
      <c r="I80" s="6" t="s">
        <v>14</v>
      </c>
      <c r="J80" s="6" t="s">
        <v>8</v>
      </c>
      <c r="K80" s="6" t="s">
        <v>15</v>
      </c>
      <c r="L80" s="6" t="s">
        <v>10</v>
      </c>
      <c r="M80" s="6" t="s">
        <v>16</v>
      </c>
    </row>
    <row r="81" customFormat="false" ht="16.5" hidden="false" customHeight="false" outlineLevel="0" collapsed="false">
      <c r="A81" s="10" t="s">
        <v>51</v>
      </c>
      <c r="H81" s="6" t="n">
        <v>4</v>
      </c>
      <c r="I81" s="6" t="s">
        <v>7</v>
      </c>
      <c r="J81" s="6" t="s">
        <v>17</v>
      </c>
      <c r="K81" s="6" t="s">
        <v>9</v>
      </c>
      <c r="L81" s="6" t="s">
        <v>10</v>
      </c>
      <c r="M81" s="6" t="s">
        <v>16</v>
      </c>
    </row>
    <row r="82" customFormat="false" ht="16.5" hidden="false" customHeight="false" outlineLevel="0" collapsed="false">
      <c r="A82" s="10" t="s">
        <v>52</v>
      </c>
      <c r="B82" s="17" t="n">
        <f aca="false">MAX(B77:B78)</f>
        <v>0.013</v>
      </c>
      <c r="H82" s="6" t="n">
        <v>5</v>
      </c>
      <c r="I82" s="6" t="s">
        <v>18</v>
      </c>
      <c r="J82" s="6" t="s">
        <v>19</v>
      </c>
      <c r="K82" s="6" t="s">
        <v>15</v>
      </c>
      <c r="L82" s="6" t="s">
        <v>10</v>
      </c>
      <c r="M82" s="6" t="s">
        <v>16</v>
      </c>
    </row>
    <row r="83" customFormat="false" ht="16.5" hidden="false" customHeight="false" outlineLevel="0" collapsed="false">
      <c r="H83" s="6" t="n">
        <v>6</v>
      </c>
      <c r="I83" s="6" t="s">
        <v>20</v>
      </c>
      <c r="J83" s="6" t="s">
        <v>17</v>
      </c>
      <c r="K83" s="6" t="s">
        <v>9</v>
      </c>
      <c r="L83" s="6" t="s">
        <v>10</v>
      </c>
      <c r="M83" s="6" t="s">
        <v>11</v>
      </c>
    </row>
    <row r="84" customFormat="false" ht="16.5" hidden="false" customHeight="false" outlineLevel="0" collapsed="false">
      <c r="H84" s="6" t="n">
        <v>7</v>
      </c>
      <c r="I84" s="6" t="s">
        <v>20</v>
      </c>
      <c r="J84" s="6" t="s">
        <v>17</v>
      </c>
      <c r="K84" s="6" t="s">
        <v>9</v>
      </c>
      <c r="L84" s="6" t="s">
        <v>10</v>
      </c>
      <c r="M84" s="6" t="s">
        <v>16</v>
      </c>
    </row>
    <row r="85" customFormat="false" ht="16.5" hidden="false" customHeight="false" outlineLevel="0" collapsed="false">
      <c r="H85" s="6" t="n">
        <v>8</v>
      </c>
      <c r="I85" s="6" t="s">
        <v>22</v>
      </c>
      <c r="J85" s="6" t="s">
        <v>17</v>
      </c>
      <c r="K85" s="6" t="s">
        <v>9</v>
      </c>
      <c r="L85" s="6" t="s">
        <v>10</v>
      </c>
      <c r="M85" s="6" t="s">
        <v>16</v>
      </c>
    </row>
    <row r="86" customFormat="false" ht="16.5" hidden="false" customHeight="false" outlineLevel="0" collapsed="false">
      <c r="H86" s="6" t="n">
        <v>9</v>
      </c>
      <c r="I86" s="6" t="s">
        <v>20</v>
      </c>
      <c r="J86" s="6" t="s">
        <v>19</v>
      </c>
      <c r="K86" s="6" t="s">
        <v>15</v>
      </c>
      <c r="L86" s="6" t="s">
        <v>10</v>
      </c>
      <c r="M86" s="6" t="s">
        <v>11</v>
      </c>
    </row>
    <row r="87" customFormat="false" ht="16.5" hidden="false" customHeight="false" outlineLevel="0" collapsed="false">
      <c r="H87" s="6" t="n">
        <v>10</v>
      </c>
      <c r="I87" s="6" t="s">
        <v>20</v>
      </c>
      <c r="J87" s="6" t="s">
        <v>17</v>
      </c>
      <c r="K87" s="6" t="s">
        <v>9</v>
      </c>
      <c r="L87" s="6" t="s">
        <v>10</v>
      </c>
      <c r="M87" s="6" t="s">
        <v>11</v>
      </c>
    </row>
    <row r="88" customFormat="false" ht="16.5" hidden="false" customHeight="false" outlineLevel="0" collapsed="false">
      <c r="H88" s="6" t="n">
        <v>11</v>
      </c>
      <c r="I88" s="6" t="s">
        <v>22</v>
      </c>
      <c r="J88" s="6" t="s">
        <v>17</v>
      </c>
      <c r="K88" s="6" t="s">
        <v>9</v>
      </c>
      <c r="L88" s="6" t="s">
        <v>13</v>
      </c>
      <c r="M88" s="6" t="s">
        <v>16</v>
      </c>
    </row>
    <row r="89" customFormat="false" ht="16.5" hidden="false" customHeight="false" outlineLevel="0" collapsed="false">
      <c r="H89" s="6" t="n">
        <v>12</v>
      </c>
      <c r="I89" s="6" t="s">
        <v>18</v>
      </c>
      <c r="J89" s="6" t="s">
        <v>17</v>
      </c>
      <c r="K89" s="6" t="s">
        <v>9</v>
      </c>
      <c r="L89" s="6" t="s">
        <v>13</v>
      </c>
      <c r="M89" s="6" t="s">
        <v>16</v>
      </c>
    </row>
    <row r="90" customFormat="false" ht="16.5" hidden="false" customHeight="false" outlineLevel="0" collapsed="false">
      <c r="H90" s="6" t="n">
        <v>13</v>
      </c>
      <c r="I90" s="6" t="s">
        <v>20</v>
      </c>
      <c r="J90" s="6" t="s">
        <v>8</v>
      </c>
      <c r="K90" s="6" t="s">
        <v>15</v>
      </c>
      <c r="L90" s="6" t="s">
        <v>10</v>
      </c>
      <c r="M90" s="6" t="s">
        <v>16</v>
      </c>
    </row>
    <row r="91" customFormat="false" ht="16.5" hidden="false" customHeight="false" outlineLevel="0" collapsed="false">
      <c r="H91" s="6" t="n">
        <v>14</v>
      </c>
      <c r="I91" s="6" t="s">
        <v>12</v>
      </c>
      <c r="J91" s="6" t="s">
        <v>17</v>
      </c>
      <c r="K91" s="6" t="s">
        <v>9</v>
      </c>
      <c r="L91" s="6" t="s">
        <v>13</v>
      </c>
      <c r="M91" s="6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34" activeCellId="0" sqref="A34"/>
    </sheetView>
  </sheetViews>
  <sheetFormatPr defaultColWidth="8.60937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2023-07-27T11:03:24Z</dcterms:created>
  <dc:creator>MASTER</dc:creator>
  <dc:description/>
  <dc:language>ko-KR</dc:language>
  <cp:lastModifiedBy/>
  <dcterms:modified xsi:type="dcterms:W3CDTF">2026-08-06T21:35:13Z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